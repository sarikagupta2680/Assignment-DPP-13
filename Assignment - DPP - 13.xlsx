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dell\Desktop\Data Analysis\Assignment - DPP's\"/>
    </mc:Choice>
  </mc:AlternateContent>
  <xr:revisionPtr revIDLastSave="0" documentId="13_ncr:1_{02672D2D-F228-4AE3-940F-ED59F597CE48}" xr6:coauthVersionLast="47" xr6:coauthVersionMax="47" xr10:uidLastSave="{00000000-0000-0000-0000-000000000000}"/>
  <bookViews>
    <workbookView xWindow="-110" yWindow="-110" windowWidth="19420" windowHeight="10420" xr2:uid="{E0888721-9212-4D97-A2FC-51435E6901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8" i="1" l="1"/>
  <c r="B11" i="1"/>
  <c r="B27" i="1"/>
  <c r="B48" i="1"/>
  <c r="B58" i="1"/>
  <c r="B68" i="1"/>
  <c r="B88" i="1"/>
  <c r="B78" i="1"/>
</calcChain>
</file>

<file path=xl/sharedStrings.xml><?xml version="1.0" encoding="utf-8"?>
<sst xmlns="http://schemas.openxmlformats.org/spreadsheetml/2006/main" count="102" uniqueCount="67">
  <si>
    <t>Q.1</t>
  </si>
  <si>
    <t xml:space="preserve">You have the following dataset: </t>
  </si>
  <si>
    <t>Product</t>
  </si>
  <si>
    <t>Sales</t>
  </si>
  <si>
    <t>Product A</t>
  </si>
  <si>
    <t>Product B</t>
  </si>
  <si>
    <t>Product C</t>
  </si>
  <si>
    <t>Ans. 1</t>
  </si>
  <si>
    <t>Q.2</t>
  </si>
  <si>
    <t>What formula would you use to count the number of cells that contain numaric value in range A1:A10?</t>
  </si>
  <si>
    <t>Ans.2</t>
  </si>
  <si>
    <t>Q.3</t>
  </si>
  <si>
    <t>Student</t>
  </si>
  <si>
    <t>Score</t>
  </si>
  <si>
    <t>Alice</t>
  </si>
  <si>
    <t>Bob</t>
  </si>
  <si>
    <t>Charlie</t>
  </si>
  <si>
    <t>Ans. 3</t>
  </si>
  <si>
    <t>Using the data below,write a formula to find the average score of students who scored above 80.</t>
  </si>
  <si>
    <t>Q.4</t>
  </si>
  <si>
    <t>Employee</t>
  </si>
  <si>
    <t>Department</t>
  </si>
  <si>
    <t>Salary</t>
  </si>
  <si>
    <t>HR</t>
  </si>
  <si>
    <t>IT</t>
  </si>
  <si>
    <t>Ans.4</t>
  </si>
  <si>
    <t>How would to sort the following dataset first by "Department" (A-Z) and then by 'Salary" (Largest to smallest)</t>
  </si>
  <si>
    <t>Q.5</t>
  </si>
  <si>
    <t>Using the dataset below, find the formula to calculate the second smallest value in the "Revenue" Column,</t>
  </si>
  <si>
    <t>Revenue</t>
  </si>
  <si>
    <t>Ans.5</t>
  </si>
  <si>
    <t>Q.6</t>
  </si>
  <si>
    <t>What Formula would you use to count the No. of employees in the "Sales" Department from the dataset below?</t>
  </si>
  <si>
    <t>Ans.6</t>
  </si>
  <si>
    <t>Q.7</t>
  </si>
  <si>
    <t>Write a formula to calculate the total sales only for items that sold more then 200 units:</t>
  </si>
  <si>
    <t>Item</t>
  </si>
  <si>
    <t>Unit Sold</t>
  </si>
  <si>
    <t>Item A</t>
  </si>
  <si>
    <t>Item B</t>
  </si>
  <si>
    <t>Item C</t>
  </si>
  <si>
    <t>Ans.7</t>
  </si>
  <si>
    <t>Q.8</t>
  </si>
  <si>
    <t>Price</t>
  </si>
  <si>
    <t>Availability</t>
  </si>
  <si>
    <t>Using the dataset below, write a formula to find the maximum price of items that are marked as "Available"</t>
  </si>
  <si>
    <t>Available</t>
  </si>
  <si>
    <t>Unavailable</t>
  </si>
  <si>
    <t>Ans.8</t>
  </si>
  <si>
    <t>Q.9</t>
  </si>
  <si>
    <t>Ans.9</t>
  </si>
  <si>
    <t>Given the following data, what formula would to use to filter and count all employees earning above 5000 in the "HR" Department</t>
  </si>
  <si>
    <t>Q.10</t>
  </si>
  <si>
    <t>Formula is : =countifs(C76:C78, "HR", D76:D78, "&gt;5000")</t>
  </si>
  <si>
    <t>Formula is: =maxifs(C67:C69, D67:D69."Available")</t>
  </si>
  <si>
    <t>Formula is: =sumifs(C58:C60,B58:B60,"&gt;200")</t>
  </si>
  <si>
    <t>Formula is: =COUNTIF(C49:C51, "sales")</t>
  </si>
  <si>
    <t>Formula is: =SMALL(C40:C42, 2)</t>
  </si>
  <si>
    <t>Formula is: =AVERAGEIF(C21:C23, "&gt;80")</t>
  </si>
  <si>
    <t>Formula is: =SUM(C7:C8)</t>
  </si>
  <si>
    <t>Formula is: =count(A1:A10)</t>
  </si>
  <si>
    <t>Using the data below, write the formula to calculate the average sales of items price above 100 but less than 300.</t>
  </si>
  <si>
    <t>Sale</t>
  </si>
  <si>
    <t>Ans.10</t>
  </si>
  <si>
    <t>Formula is: =AVERAGEIFS(D93:D95,C93:C95,"&gt;100", C93:C95,"&lt;300")</t>
  </si>
  <si>
    <t>Formula is: Go to Sort than Custom Sort - Sort by - Salary than sort Largest to Smallest</t>
  </si>
  <si>
    <t>Assignment Questions: DPP-13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</si>
</sst>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b/>
      <sz val="14"/>
      <color theme="1"/>
      <name val="Century Gothic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0" fillId="3" borderId="0" xfId="0" applyFill="1"/>
    <xf numFmtId="0" fontId="2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2A7A-0675-41A1-B2D1-5EE7FA0AD6EC}">
  <dimension ref="A1:F98"/>
  <sheetViews>
    <sheetView tabSelected="1" workbookViewId="0">
      <selection activeCell="E6" sqref="E6"/>
    </sheetView>
  </sheetViews>
  <sheetFormatPr defaultRowHeight="14.5" x14ac:dyDescent="0.25"/>
  <cols>
    <col min="1" max="1" width="6.4140625" customWidth="1"/>
    <col min="2" max="2" width="28.83203125" customWidth="1"/>
    <col min="3" max="3" width="13" customWidth="1"/>
    <col min="4" max="4" width="13.58203125" customWidth="1"/>
  </cols>
  <sheetData>
    <row r="1" spans="1:3" ht="17.5" x14ac:dyDescent="0.35">
      <c r="A1" s="9" t="s">
        <v>66</v>
      </c>
      <c r="B1" s="9"/>
      <c r="C1" s="9"/>
    </row>
    <row r="3" spans="1:3" s="2" customFormat="1" ht="14" x14ac:dyDescent="0.3">
      <c r="A3" s="2" t="s">
        <v>0</v>
      </c>
      <c r="B3" s="2" t="s">
        <v>1</v>
      </c>
    </row>
    <row r="5" spans="1:3" ht="14" x14ac:dyDescent="0.3">
      <c r="B5" s="4" t="s">
        <v>2</v>
      </c>
      <c r="C5" s="4" t="s">
        <v>3</v>
      </c>
    </row>
    <row r="6" spans="1:3" ht="13.5" x14ac:dyDescent="0.25">
      <c r="B6" s="5" t="s">
        <v>4</v>
      </c>
      <c r="C6" s="5">
        <v>150</v>
      </c>
    </row>
    <row r="7" spans="1:3" ht="13.5" x14ac:dyDescent="0.25">
      <c r="B7" s="5" t="s">
        <v>5</v>
      </c>
      <c r="C7" s="5">
        <v>300</v>
      </c>
    </row>
    <row r="8" spans="1:3" ht="13.5" x14ac:dyDescent="0.25">
      <c r="B8" s="5" t="s">
        <v>6</v>
      </c>
      <c r="C8" s="5">
        <v>450</v>
      </c>
    </row>
    <row r="9" spans="1:3" ht="13.5" x14ac:dyDescent="0.25">
      <c r="B9" s="3"/>
      <c r="C9" s="3"/>
    </row>
    <row r="10" spans="1:3" ht="14" x14ac:dyDescent="0.3">
      <c r="A10" s="10" t="s">
        <v>59</v>
      </c>
      <c r="B10" s="10"/>
      <c r="C10" s="10"/>
    </row>
    <row r="11" spans="1:3" ht="14" x14ac:dyDescent="0.3">
      <c r="A11" s="2" t="s">
        <v>7</v>
      </c>
      <c r="B11" s="6">
        <f>SUM(C7:C8)</f>
        <v>750</v>
      </c>
      <c r="C11" s="1"/>
    </row>
    <row r="14" spans="1:3" s="2" customFormat="1" ht="14" x14ac:dyDescent="0.3">
      <c r="A14" s="2" t="s">
        <v>8</v>
      </c>
      <c r="B14" s="2" t="s">
        <v>9</v>
      </c>
    </row>
    <row r="16" spans="1:3" ht="14" x14ac:dyDescent="0.3">
      <c r="A16" s="2" t="s">
        <v>10</v>
      </c>
      <c r="B16" s="7" t="s">
        <v>60</v>
      </c>
    </row>
    <row r="19" spans="1:4" s="2" customFormat="1" ht="14" x14ac:dyDescent="0.3">
      <c r="A19" s="2" t="s">
        <v>11</v>
      </c>
      <c r="B19" s="2" t="s">
        <v>18</v>
      </c>
    </row>
    <row r="21" spans="1:4" ht="14" x14ac:dyDescent="0.3">
      <c r="B21" s="4" t="s">
        <v>12</v>
      </c>
      <c r="C21" s="4" t="s">
        <v>13</v>
      </c>
    </row>
    <row r="22" spans="1:4" ht="13.5" x14ac:dyDescent="0.25">
      <c r="B22" s="5" t="s">
        <v>14</v>
      </c>
      <c r="C22" s="5">
        <v>85</v>
      </c>
    </row>
    <row r="23" spans="1:4" ht="13.5" x14ac:dyDescent="0.25">
      <c r="B23" s="5" t="s">
        <v>15</v>
      </c>
      <c r="C23" s="5">
        <v>75</v>
      </c>
    </row>
    <row r="24" spans="1:4" ht="13.5" x14ac:dyDescent="0.25">
      <c r="B24" s="5" t="s">
        <v>16</v>
      </c>
      <c r="C24" s="5">
        <v>90</v>
      </c>
    </row>
    <row r="25" spans="1:4" ht="13.5" x14ac:dyDescent="0.25">
      <c r="B25" s="3"/>
      <c r="C25" s="3"/>
    </row>
    <row r="26" spans="1:4" ht="14" x14ac:dyDescent="0.3">
      <c r="A26" s="10" t="s">
        <v>58</v>
      </c>
      <c r="B26" s="10"/>
      <c r="C26" s="10"/>
      <c r="D26" s="10"/>
    </row>
    <row r="27" spans="1:4" ht="14" x14ac:dyDescent="0.3">
      <c r="A27" s="2" t="s">
        <v>17</v>
      </c>
      <c r="B27" s="6">
        <f>AVERAGEIF(C22:C24, "&gt;80")</f>
        <v>87.5</v>
      </c>
    </row>
    <row r="30" spans="1:4" s="2" customFormat="1" ht="14" x14ac:dyDescent="0.3">
      <c r="A30" s="2" t="s">
        <v>19</v>
      </c>
      <c r="B30" s="2" t="s">
        <v>26</v>
      </c>
    </row>
    <row r="32" spans="1:4" ht="14" x14ac:dyDescent="0.3">
      <c r="B32" s="4" t="s">
        <v>20</v>
      </c>
      <c r="C32" s="4" t="s">
        <v>21</v>
      </c>
      <c r="D32" s="4" t="s">
        <v>22</v>
      </c>
    </row>
    <row r="33" spans="1:4" ht="13.5" x14ac:dyDescent="0.25">
      <c r="B33" s="5" t="s">
        <v>15</v>
      </c>
      <c r="C33" s="5" t="s">
        <v>24</v>
      </c>
      <c r="D33" s="5">
        <v>8000</v>
      </c>
    </row>
    <row r="34" spans="1:4" ht="13.5" x14ac:dyDescent="0.25">
      <c r="B34" s="5" t="s">
        <v>14</v>
      </c>
      <c r="C34" s="5" t="s">
        <v>23</v>
      </c>
      <c r="D34" s="5">
        <v>5000</v>
      </c>
    </row>
    <row r="35" spans="1:4" ht="13.5" x14ac:dyDescent="0.25">
      <c r="B35" s="5" t="s">
        <v>16</v>
      </c>
      <c r="C35" s="5" t="s">
        <v>23</v>
      </c>
      <c r="D35" s="5">
        <v>4500</v>
      </c>
    </row>
    <row r="36" spans="1:4" ht="13.5" x14ac:dyDescent="0.25">
      <c r="B36" s="3"/>
      <c r="C36" s="3"/>
      <c r="D36" s="3"/>
    </row>
    <row r="37" spans="1:4" ht="14" x14ac:dyDescent="0.3">
      <c r="A37" s="2" t="s">
        <v>65</v>
      </c>
      <c r="B37" s="2"/>
      <c r="C37" s="2"/>
      <c r="D37" s="2"/>
    </row>
    <row r="38" spans="1:4" ht="13.5" x14ac:dyDescent="0.25">
      <c r="A38" t="s">
        <v>25</v>
      </c>
      <c r="B38" s="8"/>
    </row>
    <row r="40" spans="1:4" s="2" customFormat="1" ht="14" x14ac:dyDescent="0.3">
      <c r="A40" s="2" t="s">
        <v>27</v>
      </c>
      <c r="B40" s="2" t="s">
        <v>28</v>
      </c>
    </row>
    <row r="42" spans="1:4" ht="14" x14ac:dyDescent="0.3">
      <c r="B42" s="4" t="s">
        <v>2</v>
      </c>
      <c r="C42" s="4" t="s">
        <v>29</v>
      </c>
    </row>
    <row r="43" spans="1:4" ht="13.5" x14ac:dyDescent="0.25">
      <c r="B43" s="5" t="s">
        <v>4</v>
      </c>
      <c r="C43" s="5">
        <v>1500</v>
      </c>
    </row>
    <row r="44" spans="1:4" ht="13.5" x14ac:dyDescent="0.25">
      <c r="B44" s="5" t="s">
        <v>5</v>
      </c>
      <c r="C44" s="5">
        <v>1200</v>
      </c>
    </row>
    <row r="45" spans="1:4" ht="13.5" x14ac:dyDescent="0.25">
      <c r="B45" s="5" t="s">
        <v>6</v>
      </c>
      <c r="C45" s="5">
        <v>1800</v>
      </c>
    </row>
    <row r="46" spans="1:4" ht="13.5" x14ac:dyDescent="0.25">
      <c r="B46" s="3"/>
      <c r="C46" s="3"/>
    </row>
    <row r="47" spans="1:4" ht="14" x14ac:dyDescent="0.3">
      <c r="A47" s="10" t="s">
        <v>57</v>
      </c>
      <c r="B47" s="10"/>
      <c r="C47" s="10"/>
    </row>
    <row r="48" spans="1:4" ht="14" x14ac:dyDescent="0.3">
      <c r="A48" s="2" t="s">
        <v>30</v>
      </c>
      <c r="B48" s="6">
        <f>SMALL(C43:C45, 2)</f>
        <v>1500</v>
      </c>
    </row>
    <row r="50" spans="1:4" s="2" customFormat="1" ht="14" x14ac:dyDescent="0.3">
      <c r="A50" s="2" t="s">
        <v>31</v>
      </c>
      <c r="B50" s="2" t="s">
        <v>32</v>
      </c>
    </row>
    <row r="52" spans="1:4" ht="14" x14ac:dyDescent="0.3">
      <c r="B52" s="4" t="s">
        <v>20</v>
      </c>
      <c r="C52" s="4" t="s">
        <v>21</v>
      </c>
    </row>
    <row r="53" spans="1:4" ht="13.5" x14ac:dyDescent="0.25">
      <c r="B53" s="5" t="s">
        <v>14</v>
      </c>
      <c r="C53" s="5" t="s">
        <v>24</v>
      </c>
    </row>
    <row r="54" spans="1:4" ht="13.5" x14ac:dyDescent="0.25">
      <c r="B54" s="5" t="s">
        <v>15</v>
      </c>
      <c r="C54" s="5" t="s">
        <v>3</v>
      </c>
    </row>
    <row r="55" spans="1:4" ht="13.5" x14ac:dyDescent="0.25">
      <c r="B55" s="5" t="s">
        <v>16</v>
      </c>
      <c r="C55" s="5" t="s">
        <v>3</v>
      </c>
    </row>
    <row r="56" spans="1:4" ht="13.5" x14ac:dyDescent="0.25">
      <c r="B56" s="3"/>
      <c r="C56" s="3"/>
    </row>
    <row r="57" spans="1:4" ht="14" x14ac:dyDescent="0.3">
      <c r="A57" s="10" t="s">
        <v>56</v>
      </c>
      <c r="B57" s="10"/>
      <c r="C57" s="10"/>
      <c r="D57" s="10"/>
    </row>
    <row r="58" spans="1:4" ht="14" x14ac:dyDescent="0.3">
      <c r="A58" s="2" t="s">
        <v>33</v>
      </c>
      <c r="B58" s="6">
        <f>COUNTIF(C53:C55, "sales")</f>
        <v>2</v>
      </c>
    </row>
    <row r="60" spans="1:4" s="2" customFormat="1" ht="14" x14ac:dyDescent="0.3">
      <c r="A60" s="2" t="s">
        <v>34</v>
      </c>
      <c r="B60" s="2" t="s">
        <v>35</v>
      </c>
    </row>
    <row r="62" spans="1:4" ht="14" x14ac:dyDescent="0.3">
      <c r="B62" s="4" t="s">
        <v>36</v>
      </c>
      <c r="C62" s="4" t="s">
        <v>37</v>
      </c>
    </row>
    <row r="63" spans="1:4" ht="13.5" x14ac:dyDescent="0.25">
      <c r="B63" s="5" t="s">
        <v>38</v>
      </c>
      <c r="C63" s="5">
        <v>150</v>
      </c>
    </row>
    <row r="64" spans="1:4" ht="13.5" x14ac:dyDescent="0.25">
      <c r="B64" s="5" t="s">
        <v>39</v>
      </c>
      <c r="C64" s="5">
        <v>300</v>
      </c>
    </row>
    <row r="65" spans="1:4" ht="13.5" x14ac:dyDescent="0.25">
      <c r="B65" s="5" t="s">
        <v>40</v>
      </c>
      <c r="C65" s="5">
        <v>250</v>
      </c>
    </row>
    <row r="66" spans="1:4" ht="13.5" x14ac:dyDescent="0.25">
      <c r="B66" s="3"/>
      <c r="C66" s="3"/>
    </row>
    <row r="67" spans="1:4" ht="14" x14ac:dyDescent="0.3">
      <c r="A67" s="10" t="s">
        <v>55</v>
      </c>
      <c r="B67" s="10"/>
      <c r="C67" s="10"/>
      <c r="D67" s="10"/>
    </row>
    <row r="68" spans="1:4" ht="14" x14ac:dyDescent="0.3">
      <c r="A68" s="1" t="s">
        <v>41</v>
      </c>
      <c r="B68" s="6">
        <f>SUMIFS(C63:C65,B63:B65,"&gt;200")</f>
        <v>0</v>
      </c>
    </row>
    <row r="70" spans="1:4" s="2" customFormat="1" ht="14" x14ac:dyDescent="0.3">
      <c r="A70" s="2" t="s">
        <v>42</v>
      </c>
      <c r="B70" s="2" t="s">
        <v>45</v>
      </c>
    </row>
    <row r="72" spans="1:4" ht="14" x14ac:dyDescent="0.3">
      <c r="B72" s="4" t="s">
        <v>36</v>
      </c>
      <c r="C72" s="4" t="s">
        <v>43</v>
      </c>
      <c r="D72" s="4" t="s">
        <v>44</v>
      </c>
    </row>
    <row r="73" spans="1:4" ht="13.5" x14ac:dyDescent="0.25">
      <c r="B73" s="5" t="s">
        <v>38</v>
      </c>
      <c r="C73" s="5">
        <v>200</v>
      </c>
      <c r="D73" s="5" t="s">
        <v>46</v>
      </c>
    </row>
    <row r="74" spans="1:4" ht="13.5" x14ac:dyDescent="0.25">
      <c r="B74" s="5" t="s">
        <v>39</v>
      </c>
      <c r="C74" s="5">
        <v>150</v>
      </c>
      <c r="D74" s="5" t="s">
        <v>47</v>
      </c>
    </row>
    <row r="75" spans="1:4" ht="13.5" x14ac:dyDescent="0.25">
      <c r="B75" s="5" t="s">
        <v>40</v>
      </c>
      <c r="C75" s="5">
        <v>250</v>
      </c>
      <c r="D75" s="5" t="s">
        <v>46</v>
      </c>
    </row>
    <row r="76" spans="1:4" ht="13.5" x14ac:dyDescent="0.25">
      <c r="B76" s="3"/>
      <c r="C76" s="3"/>
      <c r="D76" s="3"/>
    </row>
    <row r="77" spans="1:4" ht="14" x14ac:dyDescent="0.3">
      <c r="A77" s="10" t="s">
        <v>54</v>
      </c>
      <c r="B77" s="10"/>
      <c r="C77" s="10"/>
      <c r="D77" s="10"/>
    </row>
    <row r="78" spans="1:4" ht="14" x14ac:dyDescent="0.3">
      <c r="A78" s="2" t="s">
        <v>48</v>
      </c>
      <c r="B78" s="6">
        <f>_xlfn.MAXIFS(C73:C75,D73:D75,"Available")</f>
        <v>250</v>
      </c>
    </row>
    <row r="80" spans="1:4" s="2" customFormat="1" ht="14" x14ac:dyDescent="0.3">
      <c r="A80" s="2" t="s">
        <v>49</v>
      </c>
      <c r="B80" s="2" t="s">
        <v>51</v>
      </c>
    </row>
    <row r="82" spans="1:4" ht="14" x14ac:dyDescent="0.3">
      <c r="B82" s="4" t="s">
        <v>20</v>
      </c>
      <c r="C82" s="4" t="s">
        <v>21</v>
      </c>
      <c r="D82" s="4" t="s">
        <v>22</v>
      </c>
    </row>
    <row r="83" spans="1:4" ht="13.5" x14ac:dyDescent="0.25">
      <c r="B83" s="5" t="s">
        <v>14</v>
      </c>
      <c r="C83" s="5" t="s">
        <v>23</v>
      </c>
      <c r="D83" s="5">
        <v>4000</v>
      </c>
    </row>
    <row r="84" spans="1:4" ht="13.5" x14ac:dyDescent="0.25">
      <c r="B84" s="5" t="s">
        <v>15</v>
      </c>
      <c r="C84" s="5" t="s">
        <v>23</v>
      </c>
      <c r="D84" s="5">
        <v>5500</v>
      </c>
    </row>
    <row r="85" spans="1:4" ht="13.5" x14ac:dyDescent="0.25">
      <c r="B85" s="5" t="s">
        <v>16</v>
      </c>
      <c r="C85" s="5" t="s">
        <v>24</v>
      </c>
      <c r="D85" s="5">
        <v>6000</v>
      </c>
    </row>
    <row r="86" spans="1:4" ht="13.5" x14ac:dyDescent="0.25">
      <c r="B86" s="3"/>
      <c r="C86" s="3"/>
      <c r="D86" s="3"/>
    </row>
    <row r="87" spans="1:4" ht="14" x14ac:dyDescent="0.3">
      <c r="A87" s="10" t="s">
        <v>53</v>
      </c>
      <c r="B87" s="10"/>
      <c r="C87" s="10"/>
      <c r="D87" s="10"/>
    </row>
    <row r="88" spans="1:4" ht="14" x14ac:dyDescent="0.3">
      <c r="A88" s="2" t="s">
        <v>50</v>
      </c>
      <c r="B88" s="6">
        <f>COUNTIFS(C83:C85,"HR",D83:D85, "&gt;5000")</f>
        <v>1</v>
      </c>
    </row>
    <row r="90" spans="1:4" s="2" customFormat="1" ht="14" x14ac:dyDescent="0.3">
      <c r="A90" s="2" t="s">
        <v>52</v>
      </c>
      <c r="B90" s="2" t="s">
        <v>61</v>
      </c>
    </row>
    <row r="92" spans="1:4" ht="14" x14ac:dyDescent="0.3">
      <c r="B92" s="4" t="s">
        <v>36</v>
      </c>
      <c r="C92" s="4" t="s">
        <v>43</v>
      </c>
      <c r="D92" s="4" t="s">
        <v>62</v>
      </c>
    </row>
    <row r="93" spans="1:4" ht="13.5" x14ac:dyDescent="0.25">
      <c r="B93" s="5" t="s">
        <v>38</v>
      </c>
      <c r="C93" s="5">
        <v>90</v>
      </c>
      <c r="D93" s="5">
        <v>1000</v>
      </c>
    </row>
    <row r="94" spans="1:4" ht="13.5" x14ac:dyDescent="0.25">
      <c r="B94" s="5" t="s">
        <v>39</v>
      </c>
      <c r="C94" s="5">
        <v>150</v>
      </c>
      <c r="D94" s="5">
        <v>1200</v>
      </c>
    </row>
    <row r="95" spans="1:4" ht="13.5" x14ac:dyDescent="0.25">
      <c r="B95" s="5" t="s">
        <v>40</v>
      </c>
      <c r="C95" s="5">
        <v>250</v>
      </c>
      <c r="D95" s="5">
        <v>1500</v>
      </c>
    </row>
    <row r="97" spans="1:6" ht="14" x14ac:dyDescent="0.3">
      <c r="A97" s="10" t="s">
        <v>64</v>
      </c>
      <c r="B97" s="10"/>
      <c r="C97" s="10"/>
      <c r="D97" s="10"/>
      <c r="E97" s="10"/>
      <c r="F97" s="10"/>
    </row>
    <row r="98" spans="1:6" ht="14" x14ac:dyDescent="0.3">
      <c r="A98" s="2" t="s">
        <v>63</v>
      </c>
      <c r="B98" s="6">
        <f>AVERAGEIFS(D93:D95,C93:C95,"&gt;100", C93:C95,"&lt;300")</f>
        <v>1350</v>
      </c>
    </row>
  </sheetData>
  <sortState xmlns:xlrd2="http://schemas.microsoft.com/office/spreadsheetml/2017/richdata2" ref="B33:D35">
    <sortCondition descending="1" ref="D33:D35"/>
  </sortState>
  <mergeCells count="9">
    <mergeCell ref="A1:C1"/>
    <mergeCell ref="A10:C10"/>
    <mergeCell ref="A97:F97"/>
    <mergeCell ref="A87:D87"/>
    <mergeCell ref="A77:D77"/>
    <mergeCell ref="A67:D67"/>
    <mergeCell ref="A57:D57"/>
    <mergeCell ref="A47:C47"/>
    <mergeCell ref="A26:D26"/>
  </mergeCells>
  <pageMargins left="0.7" right="0.7" top="0.75" bottom="0.75" header="0.3" footer="0.3"/>
  <pageSetup orientation="portrait" r:id="rId1"/>
  <ignoredErrors>
    <ignoredError sqref="B11:C1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2025-11-27T03:24:02Z</dcterms:created>
  <dcterms:modified xsi:type="dcterms:W3CDTF">2025-12-22T13:29:28Z</dcterms:modified>
</cp:coreProperties>
</file>